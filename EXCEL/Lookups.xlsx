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121" documentId="13_ncr:1_{5385FAB8-444E-46A4-9A1E-764B55F30D67}" xr6:coauthVersionLast="47" xr6:coauthVersionMax="47" xr10:uidLastSave="{809A9B28-544D-493D-80F6-BA7C4EF60324}"/>
  <bookViews>
    <workbookView minimized="1" xWindow="2124" yWindow="2124" windowWidth="17280" windowHeight="10500" xr2:uid="{86C2143A-C104-4631-B0C3-FAE18B7B60CC}"/>
  </bookViews>
  <sheets>
    <sheet name="Employe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 a="1"/>
  <c r="A33" i="1" s="1"/>
  <c r="I2" i="1" a="1"/>
  <c r="I2" i="1" s="1"/>
  <c r="A28" i="1" a="1"/>
  <c r="A28" i="1" s="1"/>
  <c r="A21" i="1" a="1"/>
  <c r="A21" i="1" s="1"/>
  <c r="A17" i="1" a="1"/>
  <c r="A17" i="1" s="1"/>
  <c r="H3" i="1"/>
  <c r="H4" i="1"/>
  <c r="H5" i="1"/>
  <c r="H6" i="1"/>
  <c r="H2" i="1"/>
  <c r="G3" i="1"/>
  <c r="G4" i="1"/>
  <c r="G5" i="1"/>
  <c r="G6" i="1"/>
  <c r="G2" i="1"/>
  <c r="F5" i="1"/>
  <c r="B13" i="1"/>
  <c r="F4" i="1"/>
  <c r="F3" i="1"/>
  <c r="F2" i="1"/>
  <c r="F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<sst xmlns="http://schemas.openxmlformats.org/spreadsheetml/2006/main" count="34" uniqueCount="31">
  <si>
    <t>EmpID</t>
  </si>
  <si>
    <t>Name</t>
  </si>
  <si>
    <t>Salary</t>
  </si>
  <si>
    <t>Aditi</t>
  </si>
  <si>
    <t>Raj</t>
  </si>
  <si>
    <t>Meena</t>
  </si>
  <si>
    <t>Karan</t>
  </si>
  <si>
    <t>Sonia</t>
  </si>
  <si>
    <t>Location</t>
  </si>
  <si>
    <t>HR</t>
  </si>
  <si>
    <t>Delhi</t>
  </si>
  <si>
    <t>IT</t>
  </si>
  <si>
    <t>Bangalore</t>
  </si>
  <si>
    <t>Finance</t>
  </si>
  <si>
    <t>Mumbai</t>
  </si>
  <si>
    <t>Department</t>
  </si>
  <si>
    <t>Pune</t>
  </si>
  <si>
    <t>v lookup/ what is the dept of raj</t>
  </si>
  <si>
    <t>dept</t>
  </si>
  <si>
    <t>avg</t>
  </si>
  <si>
    <t>it</t>
  </si>
  <si>
    <t>hr</t>
  </si>
  <si>
    <t>sc</t>
  </si>
  <si>
    <t>avg salary of it guy</t>
  </si>
  <si>
    <t>index match to get exact  salary</t>
  </si>
  <si>
    <t>xlookup</t>
  </si>
  <si>
    <t>filter</t>
  </si>
  <si>
    <t>sort</t>
  </si>
  <si>
    <t>unique</t>
  </si>
  <si>
    <t>random array</t>
  </si>
  <si>
    <t>sort the it guy on the basis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</si>
</sst>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Font="1" applyBorder="1"/>
    <xf numFmtId="0" fontId="0" fillId="0" borderId="1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wrapText="1"/>
    </xf>
    <xf numFmtId="0" fontId="0" fillId="0" borderId="9" xfId="0" applyBorder="1"/>
    <xf numFmtId="0" fontId="1" fillId="0" borderId="2" xfId="0" applyFont="1" applyBorder="1"/>
    <xf numFmtId="0" fontId="0" fillId="0" borderId="2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6F0C-D68F-4B21-87C7-F723C2AF8CEA}">
  <dimension ref="A1:I34"/>
  <sheetViews>
    <sheetView tabSelected="1" topLeftCell="A18" workbookViewId="0">
      <selection activeCell="A33" sqref="A33"/>
    </sheetView>
  </sheetViews>
  <sheetFormatPr defaultRowHeight="21" x14ac:dyDescent="0.4"/>
  <cols>
    <col min="1" max="1" width="10.7109375" customWidth="1"/>
    <col min="3" max="3" width="8.78515625" bestFit="1" customWidth="1"/>
    <col min="6" max="6" width="9.35546875" bestFit="1" customWidth="1"/>
  </cols>
  <sheetData>
    <row r="1" spans="1:9" ht="84" x14ac:dyDescent="0.4">
      <c r="A1" s="1" t="s">
        <v>0</v>
      </c>
      <c r="B1" s="1" t="s">
        <v>1</v>
      </c>
      <c r="C1" s="1" t="s">
        <v>15</v>
      </c>
      <c r="D1" s="1" t="s">
        <v>2</v>
      </c>
      <c r="E1" s="1" t="s">
        <v>8</v>
      </c>
      <c r="F1" s="1" t="s">
        <v>17</v>
      </c>
      <c r="G1" s="1" t="s">
        <v>24</v>
      </c>
      <c r="H1" s="1" t="s">
        <v>25</v>
      </c>
      <c r="I1" s="1" t="s">
        <v>29</v>
      </c>
    </row>
    <row r="2" spans="1:9" x14ac:dyDescent="0.4">
      <c r="A2" s="2">
        <v>101</v>
      </c>
      <c r="B2" s="2" t="s">
        <v>3</v>
      </c>
      <c r="C2" s="2" t="s">
        <v>9</v>
      </c>
      <c r="D2" s="3">
        <v>40000</v>
      </c>
      <c r="E2" s="2" t="s">
        <v>10</v>
      </c>
      <c r="F2">
        <f>VLOOKUP(A4,A1:E6,4,)</f>
        <v>55000</v>
      </c>
      <c r="G2">
        <f>INDEX(D2:D6,MATCH(A4,A2:A6,0))</f>
        <v>55000</v>
      </c>
      <c r="H2" t="str">
        <f>_xlfn.XLOOKUP(A2,A2:A6,E2:E6,"not found")</f>
        <v>Delhi</v>
      </c>
      <c r="I2" cm="1">
        <f t="array" aca="1" ref="I2:I6" ca="1">_xlfn.RANDARRAY(5,1,10000,50000)</f>
        <v>40637.878985535797</v>
      </c>
    </row>
    <row r="3" spans="1:9" x14ac:dyDescent="0.4">
      <c r="A3" s="2">
        <v>102</v>
      </c>
      <c r="B3" s="2" t="s">
        <v>4</v>
      </c>
      <c r="C3" s="2" t="s">
        <v>11</v>
      </c>
      <c r="D3" s="3">
        <v>65000</v>
      </c>
      <c r="E3" s="2" t="s">
        <v>14</v>
      </c>
      <c r="F3">
        <f t="shared" ref="F3:F6" si="0">VLOOKUP(A5,A2:E7,4,)</f>
        <v>80000</v>
      </c>
      <c r="G3">
        <f t="shared" ref="G3:G6" si="1">INDEX(D3:D7,MATCH(A5,A3:A7,0))</f>
        <v>80000</v>
      </c>
      <c r="H3" t="str">
        <f t="shared" ref="H3:H6" si="2">_xlfn.XLOOKUP(A3,A3:A7,E3:E7,"not found")</f>
        <v>Mumbai</v>
      </c>
      <c r="I3">
        <f ca="1"/>
        <v>34018.691865127454</v>
      </c>
    </row>
    <row r="4" spans="1:9" x14ac:dyDescent="0.4">
      <c r="A4" s="2">
        <v>103</v>
      </c>
      <c r="B4" s="2" t="s">
        <v>5</v>
      </c>
      <c r="C4" s="2" t="s">
        <v>13</v>
      </c>
      <c r="D4" s="3">
        <v>55000</v>
      </c>
      <c r="E4" s="2" t="s">
        <v>12</v>
      </c>
      <c r="F4">
        <f>VLOOKUP(A6,A3:E8,4,)</f>
        <v>50000</v>
      </c>
      <c r="G4">
        <f t="shared" si="1"/>
        <v>50000</v>
      </c>
      <c r="H4" t="str">
        <f t="shared" si="2"/>
        <v>Bangalore</v>
      </c>
      <c r="I4">
        <f ca="1"/>
        <v>22250.097591367921</v>
      </c>
    </row>
    <row r="5" spans="1:9" x14ac:dyDescent="0.4">
      <c r="A5" s="2">
        <v>104</v>
      </c>
      <c r="B5" s="2" t="s">
        <v>6</v>
      </c>
      <c r="C5" s="2" t="s">
        <v>11</v>
      </c>
      <c r="D5" s="3">
        <v>80000</v>
      </c>
      <c r="E5" s="2" t="s">
        <v>16</v>
      </c>
      <c r="F5" t="e">
        <f>VLOOKUP(A7,A4:E9,4,)</f>
        <v>#N/A</v>
      </c>
      <c r="G5" t="e">
        <f t="shared" si="1"/>
        <v>#N/A</v>
      </c>
      <c r="H5" t="str">
        <f t="shared" si="2"/>
        <v>Pune</v>
      </c>
      <c r="I5">
        <f ca="1"/>
        <v>17453.509264509587</v>
      </c>
    </row>
    <row r="6" spans="1:9" x14ac:dyDescent="0.4">
      <c r="A6" s="2">
        <v>105</v>
      </c>
      <c r="B6" s="2" t="s">
        <v>7</v>
      </c>
      <c r="C6" s="2" t="s">
        <v>9</v>
      </c>
      <c r="D6" s="3">
        <v>50000</v>
      </c>
      <c r="E6" s="2" t="s">
        <v>10</v>
      </c>
      <c r="F6" t="e">
        <f t="shared" si="0"/>
        <v>#N/A</v>
      </c>
      <c r="G6" t="e">
        <f t="shared" si="1"/>
        <v>#N/A</v>
      </c>
      <c r="H6" t="str">
        <f t="shared" si="2"/>
        <v>Delhi</v>
      </c>
      <c r="I6">
        <f ca="1"/>
        <v>47908.222443703846</v>
      </c>
    </row>
    <row r="10" spans="1:9" x14ac:dyDescent="0.4">
      <c r="A10" s="8" t="s">
        <v>18</v>
      </c>
      <c r="B10" s="9" t="s">
        <v>20</v>
      </c>
      <c r="C10" s="9" t="s">
        <v>21</v>
      </c>
      <c r="D10" s="10" t="s">
        <v>22</v>
      </c>
    </row>
    <row r="11" spans="1:9" x14ac:dyDescent="0.4">
      <c r="A11" s="11" t="s">
        <v>19</v>
      </c>
      <c r="B11" s="5">
        <v>80000</v>
      </c>
      <c r="C11" s="5">
        <v>65000</v>
      </c>
      <c r="D11" s="12">
        <v>50000</v>
      </c>
    </row>
    <row r="12" spans="1:9" x14ac:dyDescent="0.4">
      <c r="A12" s="11"/>
      <c r="B12" s="5"/>
      <c r="C12" s="5"/>
      <c r="D12" s="12"/>
    </row>
    <row r="13" spans="1:9" ht="42" x14ac:dyDescent="0.4">
      <c r="A13" s="13" t="s">
        <v>23</v>
      </c>
      <c r="B13" s="6">
        <f>HLOOKUP(B10,A10:D11,2)</f>
        <v>80000</v>
      </c>
      <c r="C13" s="7"/>
      <c r="D13" s="14"/>
    </row>
    <row r="16" spans="1:9" x14ac:dyDescent="0.4">
      <c r="A16" s="15" t="s">
        <v>26</v>
      </c>
      <c r="B16" s="16"/>
      <c r="C16" s="16"/>
      <c r="D16" s="16"/>
      <c r="E16" s="16"/>
      <c r="F16" s="16"/>
      <c r="G16" s="16"/>
      <c r="H16" s="16"/>
    </row>
    <row r="17" spans="1:8" x14ac:dyDescent="0.4">
      <c r="A17" s="16" cm="1">
        <f t="array" ref="A17:H18">_xlfn._xlws.FILTER(A2:H6,C2:C6="IT","no emp found")</f>
        <v>102</v>
      </c>
      <c r="B17" s="16" t="str">
        <v>Raj</v>
      </c>
      <c r="C17" s="16" t="str">
        <v>IT</v>
      </c>
      <c r="D17" s="16">
        <v>65000</v>
      </c>
      <c r="E17" s="16" t="str">
        <v>Mumbai</v>
      </c>
      <c r="F17" s="16">
        <v>80000</v>
      </c>
      <c r="G17" s="16">
        <v>80000</v>
      </c>
      <c r="H17" s="16" t="str">
        <v>Mumbai</v>
      </c>
    </row>
    <row r="18" spans="1:8" x14ac:dyDescent="0.4">
      <c r="A18" s="16">
        <v>104</v>
      </c>
      <c r="B18" s="16" t="str">
        <v>Karan</v>
      </c>
      <c r="C18" s="16" t="str">
        <v>IT</v>
      </c>
      <c r="D18" s="16">
        <v>80000</v>
      </c>
      <c r="E18" s="16" t="str">
        <v>Pune</v>
      </c>
      <c r="F18" s="16" t="e">
        <v>#N/A</v>
      </c>
      <c r="G18" s="16" t="e">
        <v>#N/A</v>
      </c>
      <c r="H18" s="16" t="str">
        <v>Pune</v>
      </c>
    </row>
    <row r="20" spans="1:8" x14ac:dyDescent="0.4">
      <c r="A20" s="15" t="s">
        <v>27</v>
      </c>
      <c r="B20" s="16"/>
      <c r="C20" s="16"/>
      <c r="D20" s="16"/>
      <c r="E20" s="16"/>
    </row>
    <row r="21" spans="1:8" x14ac:dyDescent="0.4">
      <c r="A21" s="16" cm="1">
        <f t="array" ref="A21:E25">_xlfn._xlws.SORT(A2:E6,4,-1)</f>
        <v>104</v>
      </c>
      <c r="B21" s="16" t="str">
        <v>Karan</v>
      </c>
      <c r="C21" s="16" t="str">
        <v>IT</v>
      </c>
      <c r="D21" s="16">
        <v>80000</v>
      </c>
      <c r="E21" s="16" t="str">
        <v>Pune</v>
      </c>
    </row>
    <row r="22" spans="1:8" x14ac:dyDescent="0.4">
      <c r="A22" s="16">
        <v>102</v>
      </c>
      <c r="B22" s="16" t="str">
        <v>Raj</v>
      </c>
      <c r="C22" s="16" t="str">
        <v>IT</v>
      </c>
      <c r="D22" s="16">
        <v>65000</v>
      </c>
      <c r="E22" s="16" t="str">
        <v>Mumbai</v>
      </c>
    </row>
    <row r="23" spans="1:8" x14ac:dyDescent="0.4">
      <c r="A23" s="16">
        <v>103</v>
      </c>
      <c r="B23" s="16" t="str">
        <v>Meena</v>
      </c>
      <c r="C23" s="16" t="str">
        <v>Finance</v>
      </c>
      <c r="D23" s="16">
        <v>55000</v>
      </c>
      <c r="E23" s="16" t="str">
        <v>Bangalore</v>
      </c>
    </row>
    <row r="24" spans="1:8" x14ac:dyDescent="0.4">
      <c r="A24" s="16">
        <v>105</v>
      </c>
      <c r="B24" s="16" t="str">
        <v>Sonia</v>
      </c>
      <c r="C24" s="16" t="str">
        <v>HR</v>
      </c>
      <c r="D24" s="16">
        <v>50000</v>
      </c>
      <c r="E24" s="16" t="str">
        <v>Delhi</v>
      </c>
    </row>
    <row r="25" spans="1:8" x14ac:dyDescent="0.4">
      <c r="A25" s="16">
        <v>101</v>
      </c>
      <c r="B25" s="16" t="str">
        <v>Aditi</v>
      </c>
      <c r="C25" s="16" t="str">
        <v>HR</v>
      </c>
      <c r="D25" s="16">
        <v>40000</v>
      </c>
      <c r="E25" s="16" t="str">
        <v>Delhi</v>
      </c>
    </row>
    <row r="27" spans="1:8" x14ac:dyDescent="0.4">
      <c r="A27" s="18" t="s">
        <v>28</v>
      </c>
    </row>
    <row r="28" spans="1:8" x14ac:dyDescent="0.4">
      <c r="A28" s="19" t="str" cm="1">
        <f t="array" ref="A28:A30">_xlfn.UNIQUE(C2:C6)</f>
        <v>HR</v>
      </c>
    </row>
    <row r="29" spans="1:8" x14ac:dyDescent="0.4">
      <c r="A29" s="19" t="str">
        <v>IT</v>
      </c>
    </row>
    <row r="30" spans="1:8" x14ac:dyDescent="0.4">
      <c r="A30" s="17" t="str">
        <v>Finance</v>
      </c>
    </row>
    <row r="32" spans="1:8" ht="84" x14ac:dyDescent="0.4">
      <c r="A32" s="4" t="s">
        <v>30</v>
      </c>
      <c r="B32" s="4"/>
      <c r="C32" s="4"/>
    </row>
    <row r="33" spans="1:5" x14ac:dyDescent="0.4">
      <c r="A33" cm="1">
        <f t="array" ref="A33:E34">_xlfn._xlws.SORT(_xlfn._xlws.FILTER(A2:E6,C2:C6="IT"),4,-1)</f>
        <v>104</v>
      </c>
      <c r="B33" t="str">
        <v>Karan</v>
      </c>
      <c r="C33" t="str">
        <v>IT</v>
      </c>
      <c r="D33">
        <v>80000</v>
      </c>
      <c r="E33" t="str">
        <v>Pune</v>
      </c>
    </row>
    <row r="34" spans="1:5" x14ac:dyDescent="0.4">
      <c r="A34">
        <v>102</v>
      </c>
      <c r="B34" t="str">
        <v>Raj</v>
      </c>
      <c r="C34" t="str">
        <v>IT</v>
      </c>
      <c r="D34">
        <v>65000</v>
      </c>
      <c r="E34" t="str">
        <v>Mumbai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2025-09-28T14:19:43Z</dcterms:created>
  <dcterms:modified xsi:type="dcterms:W3CDTF">2026-08-18T20:16:54Z</dcterms:modified>
</cp:coreProperties>
</file>