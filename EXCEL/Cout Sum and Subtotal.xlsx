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76" documentId="8_{32EB3D21-DB66-43B0-82E5-47AB2BC47EAC}" xr6:coauthVersionLast="47" xr6:coauthVersionMax="47" xr10:uidLastSave="{1DA02301-1CEB-4C0F-902D-10FB83F7DA39}"/>
  <bookViews>
    <workbookView xWindow="-108" yWindow="-108" windowWidth="23256" windowHeight="14616" xr2:uid="{E39B28A0-9412-4544-BE2B-7A0C17A1740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3" i="1"/>
  <c r="L2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<sst xmlns="http://schemas.openxmlformats.org/spreadsheetml/2006/main" count="44" uniqueCount="27">
  <si>
    <t>OrderID</t>
  </si>
  <si>
    <t>Product</t>
  </si>
  <si>
    <t>Region</t>
  </si>
  <si>
    <t>Sales</t>
  </si>
  <si>
    <t>Quantity</t>
  </si>
  <si>
    <t>SalesRep</t>
  </si>
  <si>
    <t>Laptop</t>
  </si>
  <si>
    <t>North</t>
  </si>
  <si>
    <t>Raj</t>
  </si>
  <si>
    <t>Mouse</t>
  </si>
  <si>
    <t>East</t>
  </si>
  <si>
    <t>Meena</t>
  </si>
  <si>
    <t>Keyboard</t>
  </si>
  <si>
    <t>South</t>
  </si>
  <si>
    <t>Aditi</t>
  </si>
  <si>
    <t>Monitor</t>
  </si>
  <si>
    <t>West</t>
  </si>
  <si>
    <t>Karan</t>
  </si>
  <si>
    <t>Sonia</t>
  </si>
  <si>
    <t>count blank</t>
  </si>
  <si>
    <t>count(only count numeric values)</t>
  </si>
  <si>
    <t>counta(count both numeric and non num values)</t>
  </si>
  <si>
    <t>countif  (north from region)</t>
  </si>
  <si>
    <t>countsifs (checks multiple conditions)</t>
  </si>
  <si>
    <t>sumifs</t>
  </si>
  <si>
    <t>sum(sum the whole selectes area</t>
  </si>
  <si>
    <r>
      <rPr>
        <sz val="16"/>
        <rFont val="Aptos Narrow"/>
        <family val="2"/>
        <scheme val="minor"/>
      </rPr>
      <t xml:space="preserve">sumif   </t>
    </r>
    <r>
      <rPr>
        <sz val="16"/>
        <color theme="1"/>
        <rFont val="Aptos Narrow"/>
        <family val="2"/>
        <scheme val="minor"/>
      </rPr>
      <t xml:space="preserve">  (sum according to one condition)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</si>
</sst>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6335B-C91B-45B4-9F51-049F60B7F2E6}">
  <dimension ref="A1:L11"/>
  <sheetViews>
    <sheetView tabSelected="1" zoomScale="85" zoomScaleNormal="85" workbookViewId="0">
      <selection activeCell="L3" sqref="L3"/>
    </sheetView>
  </sheetViews>
  <sheetFormatPr defaultRowHeight="21" x14ac:dyDescent="0.4"/>
  <cols>
    <col min="8" max="8" width="9.92578125" bestFit="1" customWidth="1"/>
    <col min="11" max="11" width="9.7109375" customWidth="1"/>
  </cols>
  <sheetData>
    <row r="1" spans="1:1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2" ht="84" x14ac:dyDescent="0.4">
      <c r="A2" s="2">
        <v>1001</v>
      </c>
      <c r="B2" s="2" t="s">
        <v>6</v>
      </c>
      <c r="C2" s="2" t="s">
        <v>7</v>
      </c>
      <c r="D2" s="3">
        <v>55000</v>
      </c>
      <c r="E2" s="2">
        <v>5</v>
      </c>
      <c r="F2" s="2" t="s">
        <v>8</v>
      </c>
      <c r="H2" s="4" t="s">
        <v>20</v>
      </c>
      <c r="I2" s="5">
        <f>COUNT(D2:D11)</f>
        <v>9</v>
      </c>
      <c r="K2" s="2" t="s">
        <v>25</v>
      </c>
      <c r="L2" s="6">
        <f>SUM(D2:D11)</f>
        <v>295300</v>
      </c>
    </row>
    <row r="3" spans="1:12" ht="126" x14ac:dyDescent="0.4">
      <c r="A3" s="2">
        <v>1002</v>
      </c>
      <c r="B3" s="2" t="s">
        <v>9</v>
      </c>
      <c r="C3" s="2" t="s">
        <v>10</v>
      </c>
      <c r="D3" s="3">
        <v>3000</v>
      </c>
      <c r="E3" s="2">
        <v>15</v>
      </c>
      <c r="F3" s="2" t="s">
        <v>11</v>
      </c>
      <c r="H3" s="4" t="s">
        <v>21</v>
      </c>
      <c r="I3" s="5">
        <f>COUNTA(C2:C11)</f>
        <v>10</v>
      </c>
      <c r="K3" s="2" t="s">
        <v>26</v>
      </c>
      <c r="L3">
        <f>SUMIF(C2:C11,"North",D2:D11)</f>
        <v>65300</v>
      </c>
    </row>
    <row r="4" spans="1:12" x14ac:dyDescent="0.4">
      <c r="A4" s="2">
        <v>1003</v>
      </c>
      <c r="B4" s="2" t="s">
        <v>12</v>
      </c>
      <c r="C4" s="2" t="s">
        <v>7</v>
      </c>
      <c r="D4" s="3">
        <v>7500</v>
      </c>
      <c r="E4" s="2">
        <v>10</v>
      </c>
      <c r="F4" s="2" t="s">
        <v>8</v>
      </c>
      <c r="H4" t="s">
        <v>19</v>
      </c>
      <c r="I4" s="5">
        <f>COUNTBLANK(D2:E11)</f>
        <v>2</v>
      </c>
      <c r="K4" t="s">
        <v>24</v>
      </c>
      <c r="L4">
        <f>SUMIFS(D2:D11,C2:C11,"North",B2:B11,"Laptop")</f>
        <v>55000</v>
      </c>
    </row>
    <row r="5" spans="1:12" ht="63" x14ac:dyDescent="0.4">
      <c r="A5" s="2">
        <v>1004</v>
      </c>
      <c r="B5" s="2" t="s">
        <v>6</v>
      </c>
      <c r="C5" s="2" t="s">
        <v>13</v>
      </c>
      <c r="D5" s="3">
        <v>60000</v>
      </c>
      <c r="E5" s="2">
        <v>6</v>
      </c>
      <c r="F5" s="2" t="s">
        <v>14</v>
      </c>
      <c r="H5" s="4" t="s">
        <v>22</v>
      </c>
      <c r="I5" s="5">
        <f>COUNTIF(C2:C11,"North")</f>
        <v>3</v>
      </c>
    </row>
    <row r="6" spans="1:12" ht="84" x14ac:dyDescent="0.4">
      <c r="A6" s="2">
        <v>1005</v>
      </c>
      <c r="B6" s="2" t="s">
        <v>15</v>
      </c>
      <c r="C6" s="2" t="s">
        <v>10</v>
      </c>
      <c r="D6" s="3">
        <v>25000</v>
      </c>
      <c r="E6" s="2">
        <v>4</v>
      </c>
      <c r="F6" s="2" t="s">
        <v>11</v>
      </c>
      <c r="H6" s="4" t="s">
        <v>23</v>
      </c>
      <c r="I6">
        <f>COUNTIFS(F2:F11,"Raj",C2:C11,"North",B2:B11,"Laptop")</f>
        <v>1</v>
      </c>
    </row>
    <row r="7" spans="1:12" x14ac:dyDescent="0.4">
      <c r="A7" s="2">
        <v>1006</v>
      </c>
      <c r="B7" s="2" t="s">
        <v>6</v>
      </c>
      <c r="C7" s="2" t="s">
        <v>16</v>
      </c>
      <c r="D7" s="3">
        <v>58000</v>
      </c>
      <c r="E7" s="2">
        <v>5</v>
      </c>
      <c r="F7" s="2" t="s">
        <v>17</v>
      </c>
    </row>
    <row r="8" spans="1:12" x14ac:dyDescent="0.4">
      <c r="A8" s="2">
        <v>1007</v>
      </c>
      <c r="B8" s="2" t="s">
        <v>9</v>
      </c>
      <c r="C8" s="2" t="s">
        <v>7</v>
      </c>
      <c r="D8" s="3">
        <v>2800</v>
      </c>
      <c r="E8" s="2">
        <v>12</v>
      </c>
      <c r="F8" s="2" t="s">
        <v>8</v>
      </c>
    </row>
    <row r="9" spans="1:12" x14ac:dyDescent="0.4">
      <c r="A9" s="2">
        <v>1008</v>
      </c>
      <c r="B9" s="2" t="s">
        <v>15</v>
      </c>
      <c r="C9" s="2" t="s">
        <v>13</v>
      </c>
      <c r="D9" s="3">
        <v>27000</v>
      </c>
      <c r="E9" s="2">
        <v>5</v>
      </c>
      <c r="F9" s="2" t="s">
        <v>14</v>
      </c>
    </row>
    <row r="10" spans="1:12" x14ac:dyDescent="0.4">
      <c r="A10" s="2">
        <v>1009</v>
      </c>
      <c r="B10" s="2" t="s">
        <v>6</v>
      </c>
      <c r="C10" s="2" t="s">
        <v>10</v>
      </c>
      <c r="D10" s="3">
        <v>57000</v>
      </c>
      <c r="E10" s="2">
        <v>4</v>
      </c>
      <c r="F10" s="2" t="s">
        <v>17</v>
      </c>
    </row>
    <row r="11" spans="1:12" x14ac:dyDescent="0.4">
      <c r="A11" s="2">
        <v>1010</v>
      </c>
      <c r="B11" s="2" t="s">
        <v>9</v>
      </c>
      <c r="C11" s="2" t="s">
        <v>16</v>
      </c>
      <c r="D11" s="3"/>
      <c r="E11" s="2"/>
      <c r="F11" s="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2025-09-29T08:39:57Z</dcterms:created>
  <dcterms:modified xsi:type="dcterms:W3CDTF">2026-08-20T20:15:40Z</dcterms:modified>
</cp:coreProperties>
</file>