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126" documentId="8_{32EB3D21-DB66-43B0-82E5-47AB2BC47EAC}" xr6:coauthVersionLast="47" xr6:coauthVersionMax="47" xr10:uidLastSave="{B4C339D2-16F7-4527-96D9-059ACE928760}"/>
  <bookViews>
    <workbookView minimized="1" xWindow="864" yWindow="696" windowWidth="17280" windowHeight="10500" xr2:uid="{E39B28A0-9412-4544-BE2B-7A0C17A1740F}"/>
  </bookViews>
  <sheets>
    <sheet name="Sheet1" sheetId="1" r:id="rId1"/>
  </sheets>
  <definedNames>
    <definedName name="_xlnm._FilterDatabase" localSheetId="0" hidden="1">Sheet1!$A$1:$F$11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L4" i="1"/>
  <c r="L3" i="1"/>
  <c r="L2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<sst xmlns="http://schemas.openxmlformats.org/spreadsheetml/2006/main" count="48" uniqueCount="31">
  <si>
    <t>OrderID</t>
  </si>
  <si>
    <t>Product</t>
  </si>
  <si>
    <t>Region</t>
  </si>
  <si>
    <t>Sales</t>
  </si>
  <si>
    <t>Quantity</t>
  </si>
  <si>
    <t>SalesRep</t>
  </si>
  <si>
    <t>Laptop</t>
  </si>
  <si>
    <t>North</t>
  </si>
  <si>
    <t>Raj</t>
  </si>
  <si>
    <t>Mouse</t>
  </si>
  <si>
    <t>East</t>
  </si>
  <si>
    <t>Meena</t>
  </si>
  <si>
    <t>Keyboard</t>
  </si>
  <si>
    <t>South</t>
  </si>
  <si>
    <t>Aditi</t>
  </si>
  <si>
    <t>Monitor</t>
  </si>
  <si>
    <t>West</t>
  </si>
  <si>
    <t>Karan</t>
  </si>
  <si>
    <t>Sonia</t>
  </si>
  <si>
    <t>count blank</t>
  </si>
  <si>
    <t>count(only count numeric values)</t>
  </si>
  <si>
    <t>counta(count both numeric and non num values)</t>
  </si>
  <si>
    <t>countif  (north from region)</t>
  </si>
  <si>
    <t>countsifs (checks multiple conditions)</t>
  </si>
  <si>
    <t>sum(sum the whole selectes area</t>
  </si>
  <si>
    <r>
      <rPr>
        <sz val="16"/>
        <rFont val="Aptos Narrow"/>
        <family val="2"/>
        <scheme val="minor"/>
      </rPr>
      <t xml:space="preserve">sumif   </t>
    </r>
    <r>
      <rPr>
        <sz val="16"/>
        <color theme="1"/>
        <rFont val="Aptos Narrow"/>
        <family val="2"/>
        <scheme val="minor"/>
      </rPr>
      <t xml:space="preserve">  (sum according to one condition)</t>
    </r>
  </si>
  <si>
    <t>sumifs  (according to multiple conditions)</t>
  </si>
  <si>
    <t>Count</t>
  </si>
  <si>
    <t>Sum</t>
  </si>
  <si>
    <t xml:space="preserve">Subtotal   </t>
  </si>
  <si>
    <t>(it is a dynamic method to sum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</si>
</sst>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3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335B-C91B-45B4-9F51-049F60B7F2E6}">
  <dimension ref="A1:N11"/>
  <sheetViews>
    <sheetView tabSelected="1" zoomScale="85" zoomScaleNormal="85" workbookViewId="0">
      <selection activeCell="M5" sqref="M5"/>
    </sheetView>
  </sheetViews>
  <sheetFormatPr defaultRowHeight="21" x14ac:dyDescent="0.4"/>
  <cols>
    <col min="8" max="8" width="9.92578125" bestFit="1" customWidth="1"/>
    <col min="11" max="11" width="9.7109375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2" t="s">
        <v>27</v>
      </c>
      <c r="I1" s="13"/>
      <c r="K1" s="7" t="s">
        <v>28</v>
      </c>
      <c r="L1" s="8"/>
      <c r="N1" s="4" t="s">
        <v>29</v>
      </c>
    </row>
    <row r="2" spans="1:14" ht="84" x14ac:dyDescent="0.4">
      <c r="A2" s="2">
        <v>1001</v>
      </c>
      <c r="B2" s="2" t="s">
        <v>6</v>
      </c>
      <c r="C2" s="2" t="s">
        <v>7</v>
      </c>
      <c r="D2" s="3">
        <v>55000</v>
      </c>
      <c r="E2" s="2">
        <v>5</v>
      </c>
      <c r="F2" s="2" t="s">
        <v>8</v>
      </c>
      <c r="H2" s="14" t="s">
        <v>20</v>
      </c>
      <c r="I2" s="15">
        <f>COUNT(D2:D11)</f>
        <v>9</v>
      </c>
      <c r="K2" s="9" t="s">
        <v>24</v>
      </c>
      <c r="L2" s="10">
        <f>SUM(D2:D11)</f>
        <v>295300</v>
      </c>
      <c r="N2" s="5">
        <f>SUBTOTAL(9,D2:D11)</f>
        <v>295300</v>
      </c>
    </row>
    <row r="3" spans="1:14" ht="126" x14ac:dyDescent="0.4">
      <c r="A3" s="2">
        <v>1002</v>
      </c>
      <c r="B3" s="2" t="s">
        <v>9</v>
      </c>
      <c r="C3" s="2" t="s">
        <v>10</v>
      </c>
      <c r="D3" s="3">
        <v>3000</v>
      </c>
      <c r="E3" s="2">
        <v>15</v>
      </c>
      <c r="F3" s="2" t="s">
        <v>11</v>
      </c>
      <c r="H3" s="14" t="s">
        <v>21</v>
      </c>
      <c r="I3" s="15">
        <f>COUNTA(C2:C11)</f>
        <v>10</v>
      </c>
      <c r="K3" s="9" t="s">
        <v>25</v>
      </c>
      <c r="L3" s="11">
        <f>SUMIF(C2:C11,"North",D2:D11)</f>
        <v>65300</v>
      </c>
      <c r="N3" s="6" t="s">
        <v>30</v>
      </c>
    </row>
    <row r="4" spans="1:14" ht="84" x14ac:dyDescent="0.4">
      <c r="A4" s="2">
        <v>1003</v>
      </c>
      <c r="B4" s="2" t="s">
        <v>12</v>
      </c>
      <c r="C4" s="2" t="s">
        <v>7</v>
      </c>
      <c r="D4" s="3">
        <v>7500</v>
      </c>
      <c r="E4" s="2">
        <v>10</v>
      </c>
      <c r="F4" s="2" t="s">
        <v>8</v>
      </c>
      <c r="H4" s="13" t="s">
        <v>19</v>
      </c>
      <c r="I4" s="15">
        <f>COUNTBLANK(D2:E11)</f>
        <v>2</v>
      </c>
      <c r="K4" s="9" t="s">
        <v>26</v>
      </c>
      <c r="L4" s="11">
        <f>SUMIFS(D2:D11,C2:C11,"North",B2:B11,"Laptop")</f>
        <v>55000</v>
      </c>
    </row>
    <row r="5" spans="1:14" ht="63" x14ac:dyDescent="0.4">
      <c r="A5" s="2">
        <v>1004</v>
      </c>
      <c r="B5" s="2" t="s">
        <v>6</v>
      </c>
      <c r="C5" s="2" t="s">
        <v>13</v>
      </c>
      <c r="D5" s="3">
        <v>60000</v>
      </c>
      <c r="E5" s="2">
        <v>6</v>
      </c>
      <c r="F5" s="2" t="s">
        <v>14</v>
      </c>
      <c r="H5" s="14" t="s">
        <v>22</v>
      </c>
      <c r="I5" s="15">
        <f>COUNTIF(C2:C11,"North")</f>
        <v>3</v>
      </c>
    </row>
    <row r="6" spans="1:14" ht="84" x14ac:dyDescent="0.4">
      <c r="A6" s="2">
        <v>1005</v>
      </c>
      <c r="B6" s="2" t="s">
        <v>15</v>
      </c>
      <c r="C6" s="2" t="s">
        <v>10</v>
      </c>
      <c r="D6" s="3">
        <v>25000</v>
      </c>
      <c r="E6" s="2">
        <v>4</v>
      </c>
      <c r="F6" s="2" t="s">
        <v>11</v>
      </c>
      <c r="H6" s="14" t="s">
        <v>23</v>
      </c>
      <c r="I6" s="15">
        <f>COUNTIFS(F2:F11,"Raj",C2:C11,"North",B2:B11,"Laptop")</f>
        <v>1</v>
      </c>
    </row>
    <row r="7" spans="1:14" x14ac:dyDescent="0.4">
      <c r="A7" s="2">
        <v>1006</v>
      </c>
      <c r="B7" s="2" t="s">
        <v>6</v>
      </c>
      <c r="C7" s="2" t="s">
        <v>16</v>
      </c>
      <c r="D7" s="3">
        <v>58000</v>
      </c>
      <c r="E7" s="2">
        <v>5</v>
      </c>
      <c r="F7" s="2" t="s">
        <v>17</v>
      </c>
    </row>
    <row r="8" spans="1:14" x14ac:dyDescent="0.4">
      <c r="A8" s="2">
        <v>1007</v>
      </c>
      <c r="B8" s="2" t="s">
        <v>9</v>
      </c>
      <c r="C8" s="2" t="s">
        <v>7</v>
      </c>
      <c r="D8" s="3">
        <v>2800</v>
      </c>
      <c r="E8" s="2">
        <v>12</v>
      </c>
      <c r="F8" s="2" t="s">
        <v>8</v>
      </c>
    </row>
    <row r="9" spans="1:14" x14ac:dyDescent="0.4">
      <c r="A9" s="2">
        <v>1008</v>
      </c>
      <c r="B9" s="2" t="s">
        <v>15</v>
      </c>
      <c r="C9" s="2" t="s">
        <v>13</v>
      </c>
      <c r="D9" s="3">
        <v>27000</v>
      </c>
      <c r="E9" s="2">
        <v>5</v>
      </c>
      <c r="F9" s="2" t="s">
        <v>14</v>
      </c>
    </row>
    <row r="10" spans="1:14" x14ac:dyDescent="0.4">
      <c r="A10" s="2">
        <v>1009</v>
      </c>
      <c r="B10" s="2" t="s">
        <v>6</v>
      </c>
      <c r="C10" s="2" t="s">
        <v>10</v>
      </c>
      <c r="D10" s="3">
        <v>57000</v>
      </c>
      <c r="E10" s="2">
        <v>4</v>
      </c>
      <c r="F10" s="2" t="s">
        <v>17</v>
      </c>
    </row>
    <row r="11" spans="1:14" x14ac:dyDescent="0.4">
      <c r="A11" s="2">
        <v>1010</v>
      </c>
      <c r="B11" s="2" t="s">
        <v>9</v>
      </c>
      <c r="C11" s="2" t="s">
        <v>16</v>
      </c>
      <c r="D11" s="3"/>
      <c r="E11" s="2"/>
      <c r="F1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2025-09-29T08:39:57Z</dcterms:created>
  <dcterms:modified xsi:type="dcterms:W3CDTF">2026-08-20T20:24:54Z</dcterms:modified>
</cp:coreProperties>
</file>