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113" documentId="8_{BB241887-919B-422D-8FAE-2885D0FC102D}" xr6:coauthVersionLast="47" xr6:coauthVersionMax="47" xr10:uidLastSave="{91C5C71A-AD4C-4A7C-9E95-E7F8F609679E}"/>
  <bookViews>
    <workbookView xWindow="-108" yWindow="-108" windowWidth="23256" windowHeight="14616" xr2:uid="{357A0544-0E50-48C8-B288-B68B52E18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2" i="1"/>
  <c r="R3" i="1"/>
  <c r="R4" i="1"/>
  <c r="R5" i="1"/>
  <c r="R6" i="1"/>
  <c r="R2" i="1"/>
  <c r="Q6" i="1"/>
  <c r="Q3" i="1"/>
  <c r="Q4" i="1"/>
  <c r="Q5" i="1"/>
  <c r="Q2" i="1"/>
  <c r="P6" i="1"/>
  <c r="P3" i="1"/>
  <c r="P4" i="1"/>
  <c r="P5" i="1"/>
  <c r="P2" i="1"/>
  <c r="O3" i="1"/>
  <c r="O4" i="1"/>
  <c r="O5" i="1"/>
  <c r="O6" i="1"/>
  <c r="N3" i="1"/>
  <c r="N4" i="1"/>
  <c r="N5" i="1"/>
  <c r="N6" i="1"/>
  <c r="N2" i="1"/>
  <c r="L3" i="1"/>
  <c r="M3" i="1" s="1"/>
  <c r="L4" i="1"/>
  <c r="M4" i="1" s="1"/>
  <c r="L5" i="1"/>
  <c r="M5" i="1" s="1"/>
  <c r="L6" i="1"/>
  <c r="M6" i="1" s="1"/>
  <c r="L2" i="1"/>
  <c r="M2" i="1" s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7" i="1"/>
  <c r="G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<sst xmlns="http://schemas.openxmlformats.org/spreadsheetml/2006/main" count="35" uniqueCount="35">
  <si>
    <t>ID</t>
  </si>
  <si>
    <t>Full Name</t>
  </si>
  <si>
    <t>Email</t>
  </si>
  <si>
    <t>Code</t>
  </si>
  <si>
    <t>aditi sharma</t>
  </si>
  <si>
    <t>aditi.sharma@gmail.com</t>
  </si>
  <si>
    <t>HR-001-IND</t>
  </si>
  <si>
    <t>RAJ VERMA</t>
  </si>
  <si>
    <t>rajv@outlook.com</t>
  </si>
  <si>
    <t>IT-112-USA</t>
  </si>
  <si>
    <t>Meena</t>
  </si>
  <si>
    <t>meena_k@company.org</t>
  </si>
  <si>
    <t>FIN-345-UK</t>
  </si>
  <si>
    <t>karan singh</t>
  </si>
  <si>
    <t>ks@work.net</t>
  </si>
  <si>
    <t>IT-221-AUS</t>
  </si>
  <si>
    <t>SONIA</t>
  </si>
  <si>
    <t>sonia@domain.in</t>
  </si>
  <si>
    <t>HR-019-CAN</t>
  </si>
  <si>
    <t>left 2</t>
  </si>
  <si>
    <t>right 3</t>
  </si>
  <si>
    <t>mid 3</t>
  </si>
  <si>
    <t>len</t>
  </si>
  <si>
    <t>upper</t>
  </si>
  <si>
    <t>lower</t>
  </si>
  <si>
    <t>proper</t>
  </si>
  <si>
    <t>search</t>
  </si>
  <si>
    <t>username</t>
  </si>
  <si>
    <t>Proper trim</t>
  </si>
  <si>
    <t>correct role code</t>
  </si>
  <si>
    <t>HR</t>
  </si>
  <si>
    <t>substitute</t>
  </si>
  <si>
    <t>concat</t>
  </si>
  <si>
    <t>using &amp; sign\</t>
  </si>
  <si>
    <t>textjoin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</si>
</sst>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na_k@company.org" TargetMode="External"/><Relationship Id="rId2" Type="http://schemas.openxmlformats.org/officeDocument/2006/relationships/hyperlink" Target="mailto:rajv@outlook.com" TargetMode="External"/><Relationship Id="rId1" Type="http://schemas.openxmlformats.org/officeDocument/2006/relationships/hyperlink" Target="mailto:aditi.sharma@gmail.com" TargetMode="External"/><Relationship Id="rId5" Type="http://schemas.openxmlformats.org/officeDocument/2006/relationships/hyperlink" Target="mailto:sonia@domain.in" TargetMode="External"/><Relationship Id="rId4" Type="http://schemas.openxmlformats.org/officeDocument/2006/relationships/hyperlink" Target="mailto:ks@work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BAB2-BFA4-42C7-90B8-A830A1831F91}">
  <dimension ref="A1:S7"/>
  <sheetViews>
    <sheetView tabSelected="1" workbookViewId="0">
      <selection activeCell="T3" sqref="T3"/>
    </sheetView>
  </sheetViews>
  <sheetFormatPr defaultRowHeight="21" x14ac:dyDescent="0.4"/>
  <cols>
    <col min="3" max="3" width="20.140625" customWidth="1"/>
    <col min="4" max="4" width="12.640625" customWidth="1"/>
    <col min="5" max="8" width="9.140625" hidden="1" customWidth="1"/>
    <col min="9" max="9" width="11.92578125" hidden="1" customWidth="1"/>
    <col min="10" max="10" width="10.28515625" hidden="1" customWidth="1"/>
    <col min="11" max="11" width="10.5" hidden="1" customWidth="1"/>
    <col min="12" max="12" width="9.140625" hidden="1" customWidth="1"/>
    <col min="13" max="13" width="10.42578125" hidden="1" customWidth="1"/>
    <col min="14" max="14" width="10.5" hidden="1" customWidth="1"/>
    <col min="15" max="15" width="9.140625" hidden="1" customWidth="1"/>
    <col min="16" max="16" width="11.35546875" hidden="1" customWidth="1"/>
    <col min="17" max="18" width="20.640625" hidden="1" customWidth="1"/>
    <col min="19" max="19" width="21.5" bestFit="1" customWidth="1"/>
  </cols>
  <sheetData>
    <row r="1" spans="1:19" ht="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ht="42" x14ac:dyDescent="0.4">
      <c r="A2" s="2">
        <v>101</v>
      </c>
      <c r="B2" s="2" t="s">
        <v>4</v>
      </c>
      <c r="C2" s="3" t="s">
        <v>5</v>
      </c>
      <c r="D2" s="2" t="s">
        <v>6</v>
      </c>
      <c r="E2" t="str">
        <f>LEFT(D2,2)</f>
        <v>HR</v>
      </c>
      <c r="F2" t="str">
        <f>RIGHT(D2,3)</f>
        <v>IND</v>
      </c>
      <c r="G2" t="str">
        <f>MID(D2,4,3)</f>
        <v>001</v>
      </c>
      <c r="H2">
        <f>LEN(D2)</f>
        <v>10</v>
      </c>
      <c r="I2" t="str">
        <f>UPPER(B2)</f>
        <v>ADITI SHARMA</v>
      </c>
      <c r="J2" t="str">
        <f>LOWER(B2)</f>
        <v>aditi sharma</v>
      </c>
      <c r="K2" t="str">
        <f>PROPER(B2)</f>
        <v>Aditi Sharma</v>
      </c>
      <c r="L2">
        <f>SEARCH("@",C2)</f>
        <v>13</v>
      </c>
      <c r="M2" t="str">
        <f>LEFT(C2,L2-1)</f>
        <v>aditi.sharma</v>
      </c>
      <c r="N2" t="str">
        <f>PROPER(TRIM(B2))</f>
        <v>Aditi Sharma</v>
      </c>
      <c r="O2" t="s">
        <v>30</v>
      </c>
      <c r="P2" t="str">
        <f>SUBSTITUTE(D2,"-","*")</f>
        <v>HR*001*IND</v>
      </c>
      <c r="Q2" t="str">
        <f>_xlfn.CONCAT(B2,"|",D2)</f>
        <v>aditi sharma|HR-001-IND</v>
      </c>
      <c r="R2" t="str">
        <f>B2 &amp; "|" &amp;D2</f>
        <v>aditi sharma|HR-001-IND</v>
      </c>
      <c r="S2" t="str">
        <f>_xlfn.TEXTJOIN(" * ",TRUE,B2,D2)</f>
        <v>aditi sharma * HR-001-IND</v>
      </c>
    </row>
    <row r="3" spans="1:19" ht="42" x14ac:dyDescent="0.4">
      <c r="A3" s="2">
        <v>102</v>
      </c>
      <c r="B3" s="2" t="s">
        <v>7</v>
      </c>
      <c r="C3" s="3" t="s">
        <v>8</v>
      </c>
      <c r="D3" s="2" t="s">
        <v>9</v>
      </c>
      <c r="E3" t="str">
        <f t="shared" ref="E3:E6" si="0">LEFT(D3,2)</f>
        <v>IT</v>
      </c>
      <c r="F3" t="str">
        <f t="shared" ref="F3:F6" si="1">RIGHT(D3,3)</f>
        <v>USA</v>
      </c>
      <c r="G3" t="str">
        <f t="shared" ref="G3:G7" si="2">MID(D3,4,3)</f>
        <v>112</v>
      </c>
      <c r="H3">
        <f t="shared" ref="H3:H6" si="3">LEN(D3)</f>
        <v>10</v>
      </c>
      <c r="I3" t="str">
        <f t="shared" ref="I3:I6" si="4">UPPER(B3)</f>
        <v>RAJ VERMA</v>
      </c>
      <c r="J3" t="str">
        <f t="shared" ref="J3:J6" si="5">LOWER(B3)</f>
        <v>raj verma</v>
      </c>
      <c r="K3" t="str">
        <f t="shared" ref="K3:K6" si="6">PROPER(B3)</f>
        <v>Raj Verma</v>
      </c>
      <c r="L3">
        <f t="shared" ref="L3:L6" si="7">SEARCH("@",C3)</f>
        <v>5</v>
      </c>
      <c r="M3" t="str">
        <f t="shared" ref="M3:M6" si="8">LEFT(C3,L3-1)</f>
        <v>rajv</v>
      </c>
      <c r="N3" t="str">
        <f t="shared" ref="N3:N6" si="9">PROPER(TRIM(B3))</f>
        <v>Raj Verma</v>
      </c>
      <c r="O3" t="str">
        <f t="shared" ref="O3:O6" si="10">LEFT(D3,(SEARCH("-",D3)-1))</f>
        <v>IT</v>
      </c>
      <c r="P3" t="str">
        <f t="shared" ref="P3:P6" si="11">SUBSTITUTE(D3,"-","*")</f>
        <v>IT*112*USA</v>
      </c>
      <c r="Q3" t="str">
        <f>_xlfn.CONCAT(B3,"|",D3)</f>
        <v>RAJ VERMA|IT-112-USA</v>
      </c>
      <c r="R3" t="str">
        <f t="shared" ref="R3:R6" si="12">B3 &amp; "|" &amp;D3</f>
        <v>RAJ VERMA|IT-112-USA</v>
      </c>
      <c r="S3" t="str">
        <f t="shared" ref="S3:S6" si="13">_xlfn.TEXTJOIN(" * ",TRUE,B3,D3)</f>
        <v>RAJ VERMA * IT-112-USA</v>
      </c>
    </row>
    <row r="4" spans="1:19" x14ac:dyDescent="0.4">
      <c r="A4" s="2">
        <v>103</v>
      </c>
      <c r="B4" s="2" t="s">
        <v>10</v>
      </c>
      <c r="C4" s="3" t="s">
        <v>11</v>
      </c>
      <c r="D4" s="2" t="s">
        <v>12</v>
      </c>
      <c r="E4" t="str">
        <f t="shared" si="0"/>
        <v>FI</v>
      </c>
      <c r="F4" t="str">
        <f t="shared" si="1"/>
        <v>-UK</v>
      </c>
      <c r="G4" t="str">
        <f t="shared" si="2"/>
        <v>-34</v>
      </c>
      <c r="H4">
        <f t="shared" si="3"/>
        <v>10</v>
      </c>
      <c r="I4" t="str">
        <f t="shared" si="4"/>
        <v>MEENA</v>
      </c>
      <c r="J4" t="str">
        <f t="shared" si="5"/>
        <v>meena</v>
      </c>
      <c r="K4" t="str">
        <f t="shared" si="6"/>
        <v>Meena</v>
      </c>
      <c r="L4">
        <f t="shared" si="7"/>
        <v>8</v>
      </c>
      <c r="M4" t="str">
        <f t="shared" si="8"/>
        <v>meena_k</v>
      </c>
      <c r="N4" t="str">
        <f t="shared" si="9"/>
        <v>Meena</v>
      </c>
      <c r="O4" t="str">
        <f t="shared" si="10"/>
        <v>FIN</v>
      </c>
      <c r="P4" t="str">
        <f t="shared" si="11"/>
        <v>FIN*345*UK</v>
      </c>
      <c r="Q4" t="str">
        <f>_xlfn.CONCAT(B4,"|",D4)</f>
        <v>Meena|FIN-345-UK</v>
      </c>
      <c r="R4" t="str">
        <f t="shared" si="12"/>
        <v>Meena|FIN-345-UK</v>
      </c>
      <c r="S4" t="str">
        <f t="shared" si="13"/>
        <v>Meena * FIN-345-UK</v>
      </c>
    </row>
    <row r="5" spans="1:19" ht="42" x14ac:dyDescent="0.4">
      <c r="A5" s="2">
        <v>104</v>
      </c>
      <c r="B5" s="2" t="s">
        <v>13</v>
      </c>
      <c r="C5" s="3" t="s">
        <v>14</v>
      </c>
      <c r="D5" s="2" t="s">
        <v>15</v>
      </c>
      <c r="E5" t="str">
        <f t="shared" si="0"/>
        <v>IT</v>
      </c>
      <c r="F5" t="str">
        <f t="shared" si="1"/>
        <v>AUS</v>
      </c>
      <c r="G5" t="str">
        <f t="shared" si="2"/>
        <v>221</v>
      </c>
      <c r="H5">
        <f t="shared" si="3"/>
        <v>10</v>
      </c>
      <c r="I5" t="str">
        <f t="shared" si="4"/>
        <v>KARAN SINGH</v>
      </c>
      <c r="J5" t="str">
        <f t="shared" si="5"/>
        <v>karan singh</v>
      </c>
      <c r="K5" t="str">
        <f t="shared" si="6"/>
        <v>Karan Singh</v>
      </c>
      <c r="L5">
        <f t="shared" si="7"/>
        <v>3</v>
      </c>
      <c r="M5" t="str">
        <f t="shared" si="8"/>
        <v>ks</v>
      </c>
      <c r="N5" t="str">
        <f t="shared" si="9"/>
        <v>Karan Singh</v>
      </c>
      <c r="O5" t="str">
        <f t="shared" si="10"/>
        <v>IT</v>
      </c>
      <c r="P5" t="str">
        <f t="shared" si="11"/>
        <v>IT*221*AUS</v>
      </c>
      <c r="Q5" t="str">
        <f>_xlfn.CONCAT(B5,"|",D5)</f>
        <v>karan singh|IT-221-AUS</v>
      </c>
      <c r="R5" t="str">
        <f t="shared" si="12"/>
        <v>karan singh|IT-221-AUS</v>
      </c>
      <c r="S5" t="str">
        <f t="shared" si="13"/>
        <v>karan singh * IT-221-AUS</v>
      </c>
    </row>
    <row r="6" spans="1:19" x14ac:dyDescent="0.4">
      <c r="A6" s="2">
        <v>105</v>
      </c>
      <c r="B6" s="2" t="s">
        <v>16</v>
      </c>
      <c r="C6" s="3" t="s">
        <v>17</v>
      </c>
      <c r="D6" s="2" t="s">
        <v>18</v>
      </c>
      <c r="E6" t="str">
        <f t="shared" si="0"/>
        <v>HR</v>
      </c>
      <c r="F6" t="str">
        <f t="shared" si="1"/>
        <v>CAN</v>
      </c>
      <c r="G6" t="str">
        <f t="shared" si="2"/>
        <v>019</v>
      </c>
      <c r="H6">
        <f t="shared" si="3"/>
        <v>10</v>
      </c>
      <c r="I6" t="str">
        <f t="shared" si="4"/>
        <v>SONIA</v>
      </c>
      <c r="J6" t="str">
        <f t="shared" si="5"/>
        <v>sonia</v>
      </c>
      <c r="K6" t="str">
        <f t="shared" si="6"/>
        <v>Sonia</v>
      </c>
      <c r="L6">
        <f t="shared" si="7"/>
        <v>6</v>
      </c>
      <c r="M6" t="str">
        <f t="shared" si="8"/>
        <v>sonia</v>
      </c>
      <c r="N6" t="str">
        <f t="shared" si="9"/>
        <v>Sonia</v>
      </c>
      <c r="O6" t="str">
        <f t="shared" si="10"/>
        <v>HR</v>
      </c>
      <c r="P6" t="str">
        <f t="shared" si="11"/>
        <v>HR*019*CAN</v>
      </c>
      <c r="Q6" t="str">
        <f>_xlfn.CONCAT(B6,"|",D6)</f>
        <v>SONIA|HR-019-CAN</v>
      </c>
      <c r="R6" t="str">
        <f t="shared" si="12"/>
        <v>SONIA|HR-019-CAN</v>
      </c>
      <c r="S6" t="str">
        <f t="shared" si="13"/>
        <v>SONIA * HR-019-CAN</v>
      </c>
    </row>
    <row r="7" spans="1:19" x14ac:dyDescent="0.4">
      <c r="G7" t="str">
        <f t="shared" si="2"/>
        <v/>
      </c>
    </row>
  </sheetData>
  <hyperlinks>
    <hyperlink ref="C2" r:id="rId1" display="mailto:aditi.sharma@gmail.com" xr:uid="{46DBC66D-B8F6-4DA7-85D9-6DBFC4A97E32}"/>
    <hyperlink ref="C3" r:id="rId2" display="mailto:rajv@outlook.com" xr:uid="{07C8E20C-C540-4E65-BF92-B9E2E2A8630E}"/>
    <hyperlink ref="C4" r:id="rId3" display="mailto:meena_k@company.org" xr:uid="{A0C44847-E267-4ABE-9B2A-220A9759408F}"/>
    <hyperlink ref="C5" r:id="rId4" display="mailto:ks@work.net" xr:uid="{EC81DEE4-034E-42EC-82B3-FE12394B4785}"/>
    <hyperlink ref="C6" r:id="rId5" display="mailto:sonia@domain.in" xr:uid="{6072E70F-C0FE-46F1-A5D0-5D4AF414F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2025-09-28T13:12:03Z</dcterms:created>
  <dcterms:modified xsi:type="dcterms:W3CDTF">2026-08-17T17:38:18Z</dcterms:modified>
</cp:coreProperties>
</file>